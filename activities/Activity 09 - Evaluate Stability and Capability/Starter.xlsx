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ontrol Chart" sheetId="3" state="visible" r:id="rId3"/>
    <sheet xmlns:r="http://schemas.openxmlformats.org/officeDocument/2006/relationships" name="Signal Log" sheetId="4" state="visible" r:id="rId4"/>
    <sheet xmlns:r="http://schemas.openxmlformats.org/officeDocument/2006/relationships" name="Capability" sheetId="5" state="visible" r:id="rId5"/>
    <sheet xmlns:r="http://schemas.openxmlformats.org/officeDocument/2006/relationships" name="Evaluation" sheetId="6" state="visible" r:id="rId6"/>
  </sheets>
  <definedNames>
    <definedName name="_xlnm._FilterDatabase" localSheetId="1" hidden="1">'Data Dictionary'!$A$1:$H$7</definedName>
    <definedName name="_xlnm._FilterDatabase" localSheetId="2" hidden="1">'Control Chart'!$A$1:$H$34</definedName>
    <definedName name="_xlnm._FilterDatabase" localSheetId="3" hidden="1">'Signal Log'!$A$1:$H$5</definedName>
    <definedName name="_xlnm._FilterDatabase" localSheetId="4" hidden="1">'Capability'!$A$1:$H$10</definedName>
    <definedName name="_xlnm._FilterDatabase" localSheetId="5" hidden="1">'Evaluation'!$A$1:$H$7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Time-Ordered Process Behaviour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Chart'!$B$5:$B$34</f>
            </numRef>
          </val>
        </ser>
        <ser>
          <idx val="1"/>
          <order val="1"/>
          <tx>
            <strRef>
              <f>'Control Chart'!C4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Chart'!$C$5:$C$34</f>
            </numRef>
          </val>
        </ser>
        <ser>
          <idx val="2"/>
          <order val="2"/>
          <tx>
            <strRef>
              <f>'Control Chart'!D4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Chart'!$D$5:$D$34</f>
            </numRef>
          </val>
        </ser>
        <ser>
          <idx val="3"/>
          <order val="3"/>
          <tx>
            <strRef>
              <f>'Control Chart'!E4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Chart'!$E$5:$E$34</f>
            </numRef>
          </val>
        </ser>
        <ser>
          <idx val="4"/>
          <order val="4"/>
          <tx>
            <strRef>
              <f>'Control Chart'!F4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 Chart'!$A$5:$A$34</f>
            </numRef>
          </cat>
          <val>
            <numRef>
              <f>'Control Chart'!$F$5:$F$34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Paste volume 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09 — Evaluate Stability and Capability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A9, A10, K4</t>
        </is>
      </c>
    </row>
    <row r="5" ht="42" customHeight="1">
      <c r="A5" s="3" t="inlineStr">
        <is>
          <t>Objective</t>
        </is>
      </c>
      <c r="B5" s="4" t="inlineStr">
        <is>
          <t>Monitor improvement performance using time order, control limits and capability measures.</t>
        </is>
      </c>
    </row>
    <row r="6" ht="42" customHeight="1">
      <c r="A6" s="3" t="inlineStr">
        <is>
          <t>Scenario</t>
        </is>
      </c>
      <c r="B6" s="4" t="inlineStr">
        <is>
          <t>After the pilot, Orion has 30 daily solder-paste-volume samples and bridge-defect results.</t>
        </is>
      </c>
    </row>
    <row r="7" ht="42" customHeight="1">
      <c r="A7" s="3" t="inlineStr">
        <is>
          <t>Deliverable</t>
        </is>
      </c>
      <c r="B7" s="4" t="inlineStr">
        <is>
          <t>Time-series dataset, control chart, signal log, capability calculation and evaluation statement</t>
        </is>
      </c>
    </row>
    <row r="8" ht="42" customHeight="1">
      <c r="A8" s="3" t="inlineStr">
        <is>
          <t>Acceptance check</t>
        </is>
      </c>
      <c r="B8" s="4" t="inlineStr">
        <is>
          <t>Limits are formula-driven, signals are not confused with specification failures, capability is interpreted with stability and measurement caveats.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SPC Data Dictionary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Rule</t>
        </is>
      </c>
      <c r="D4" s="5" t="n"/>
      <c r="E4" s="5" t="n"/>
      <c r="F4" s="5" t="n"/>
      <c r="G4" s="5" t="n"/>
      <c r="H4" s="5" t="n"/>
    </row>
    <row r="5">
      <c r="A5" s="5" t="inlineStr">
        <is>
          <t>Day</t>
        </is>
      </c>
      <c r="B5" s="5" t="inlineStr">
        <is>
          <t>Time order of daily subgroup mean</t>
        </is>
      </c>
      <c r="C5" s="5" t="inlineStr">
        <is>
          <t>1–30</t>
        </is>
      </c>
      <c r="D5" s="5" t="n"/>
      <c r="E5" s="5" t="n"/>
      <c r="F5" s="5" t="n"/>
      <c r="G5" s="5" t="n"/>
      <c r="H5" s="5" t="n"/>
    </row>
    <row r="6">
      <c r="A6" s="5" t="inlineStr">
        <is>
          <t>Paste volume index</t>
        </is>
      </c>
      <c r="B6" s="5" t="inlineStr">
        <is>
          <t>Normalised daily mean</t>
        </is>
      </c>
      <c r="C6" s="5" t="inlineStr">
        <is>
          <t>Specification 98.5–101.5</t>
        </is>
      </c>
      <c r="D6" s="5" t="n"/>
      <c r="E6" s="5" t="n"/>
      <c r="F6" s="5" t="n"/>
      <c r="G6" s="5" t="n"/>
      <c r="H6" s="5" t="n"/>
    </row>
    <row r="7">
      <c r="A7" s="5" t="inlineStr">
        <is>
          <t>Context</t>
        </is>
      </c>
      <c r="B7" s="5" t="inlineStr">
        <is>
          <t>Shift, material or maintenance note</t>
        </is>
      </c>
      <c r="C7" s="5" t="inlineStr">
        <is>
          <t>Record before interpretation</t>
        </is>
      </c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Paste-Volume Control Chart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Day</t>
        </is>
      </c>
      <c r="B4" s="6" t="inlineStr">
        <is>
          <t>Value</t>
        </is>
      </c>
      <c r="C4" s="6" t="inlineStr">
        <is>
          <t>Centre line</t>
        </is>
      </c>
      <c r="D4" s="6" t="inlineStr">
        <is>
          <t>Std dev</t>
        </is>
      </c>
      <c r="E4" s="6" t="inlineStr">
        <is>
          <t>UCL</t>
        </is>
      </c>
      <c r="F4" s="6" t="inlineStr">
        <is>
          <t>LCL</t>
        </is>
      </c>
      <c r="G4" s="6" t="inlineStr">
        <is>
          <t>Signal</t>
        </is>
      </c>
      <c r="H4" s="6" t="inlineStr">
        <is>
          <t>Context</t>
        </is>
      </c>
    </row>
    <row r="5">
      <c r="A5" s="5" t="n">
        <v>1</v>
      </c>
      <c r="B5" s="5" t="n">
        <v>99.7</v>
      </c>
      <c r="C5" s="5">
        <f>AVERAGE($B$5:$B$34)</f>
        <v/>
      </c>
      <c r="D5" s="5">
        <f>STDEV($B$5:$B$34)</f>
        <v/>
      </c>
      <c r="E5" s="5">
        <f>C5+3*D5</f>
        <v/>
      </c>
      <c r="F5" s="5">
        <f>MAX(0,C5-3*D5)</f>
        <v/>
      </c>
      <c r="G5" s="5">
        <f>IF(OR(B5&gt;E5,B5&lt;F5),"Beyond limit","")</f>
        <v/>
      </c>
      <c r="H5" s="5" t="inlineStr"/>
    </row>
    <row r="6">
      <c r="A6" s="5" t="n">
        <v>2</v>
      </c>
      <c r="B6" s="5" t="n">
        <v>100.5</v>
      </c>
      <c r="C6" s="5">
        <f>AVERAGE($B$5:$B$34)</f>
        <v/>
      </c>
      <c r="D6" s="5">
        <f>STDEV($B$5:$B$34)</f>
        <v/>
      </c>
      <c r="E6" s="5">
        <f>C5+3*D5</f>
        <v/>
      </c>
      <c r="F6" s="5">
        <f>MAX(0,C5-3*D5)</f>
        <v/>
      </c>
      <c r="G6" s="5">
        <f>IF(OR(B6&gt;E6,B6&lt;F6),"Beyond limit","")</f>
        <v/>
      </c>
      <c r="H6" s="5" t="inlineStr"/>
    </row>
    <row r="7">
      <c r="A7" s="5" t="n">
        <v>3</v>
      </c>
      <c r="B7" s="5" t="n">
        <v>100.1</v>
      </c>
      <c r="C7" s="5">
        <f>AVERAGE($B$5:$B$34)</f>
        <v/>
      </c>
      <c r="D7" s="5">
        <f>STDEV($B$5:$B$34)</f>
        <v/>
      </c>
      <c r="E7" s="5">
        <f>C5+3*D5</f>
        <v/>
      </c>
      <c r="F7" s="5">
        <f>MAX(0,C5-3*D5)</f>
        <v/>
      </c>
      <c r="G7" s="5">
        <f>IF(OR(B7&gt;E7,B7&lt;F7),"Beyond limit","")</f>
        <v/>
      </c>
      <c r="H7" s="5" t="inlineStr"/>
    </row>
    <row r="8">
      <c r="A8" s="5" t="n">
        <v>4</v>
      </c>
      <c r="B8" s="5" t="n">
        <v>99.8</v>
      </c>
      <c r="C8" s="5">
        <f>AVERAGE($B$5:$B$34)</f>
        <v/>
      </c>
      <c r="D8" s="5">
        <f>STDEV($B$5:$B$34)</f>
        <v/>
      </c>
      <c r="E8" s="5">
        <f>C5+3*D5</f>
        <v/>
      </c>
      <c r="F8" s="5">
        <f>MAX(0,C5-3*D5)</f>
        <v/>
      </c>
      <c r="G8" s="5">
        <f>IF(OR(B8&gt;E8,B8&lt;F8),"Beyond limit","")</f>
        <v/>
      </c>
      <c r="H8" s="5" t="inlineStr"/>
    </row>
    <row r="9">
      <c r="A9" s="5" t="n">
        <v>5</v>
      </c>
      <c r="B9" s="5" t="n">
        <v>100.4</v>
      </c>
      <c r="C9" s="5">
        <f>AVERAGE($B$5:$B$34)</f>
        <v/>
      </c>
      <c r="D9" s="5">
        <f>STDEV($B$5:$B$34)</f>
        <v/>
      </c>
      <c r="E9" s="5">
        <f>C5+3*D5</f>
        <v/>
      </c>
      <c r="F9" s="5">
        <f>MAX(0,C5-3*D5)</f>
        <v/>
      </c>
      <c r="G9" s="5">
        <f>IF(OR(B9&gt;E9,B9&lt;F9),"Beyond limit","")</f>
        <v/>
      </c>
      <c r="H9" s="5" t="inlineStr"/>
    </row>
    <row r="10">
      <c r="A10" s="5" t="n">
        <v>6</v>
      </c>
      <c r="B10" s="5" t="n">
        <v>100.2</v>
      </c>
      <c r="C10" s="5">
        <f>AVERAGE($B$5:$B$34)</f>
        <v/>
      </c>
      <c r="D10" s="5">
        <f>STDEV($B$5:$B$34)</f>
        <v/>
      </c>
      <c r="E10" s="5">
        <f>C5+3*D5</f>
        <v/>
      </c>
      <c r="F10" s="5">
        <f>MAX(0,C5-3*D5)</f>
        <v/>
      </c>
      <c r="G10" s="5">
        <f>IF(OR(B10&gt;E10,B10&lt;F10),"Beyond limit","")</f>
        <v/>
      </c>
      <c r="H10" s="5" t="inlineStr"/>
    </row>
    <row r="11">
      <c r="A11" s="5" t="n">
        <v>7</v>
      </c>
      <c r="B11" s="5" t="n">
        <v>99.90000000000001</v>
      </c>
      <c r="C11" s="5">
        <f>AVERAGE($B$5:$B$34)</f>
        <v/>
      </c>
      <c r="D11" s="5">
        <f>STDEV($B$5:$B$34)</f>
        <v/>
      </c>
      <c r="E11" s="5">
        <f>C5+3*D5</f>
        <v/>
      </c>
      <c r="F11" s="5">
        <f>MAX(0,C5-3*D5)</f>
        <v/>
      </c>
      <c r="G11" s="5">
        <f>IF(OR(B11&gt;E11,B11&lt;F11),"Beyond limit","")</f>
        <v/>
      </c>
      <c r="H11" s="5" t="inlineStr"/>
    </row>
    <row r="12">
      <c r="A12" s="5" t="n">
        <v>8</v>
      </c>
      <c r="B12" s="5" t="n">
        <v>100.3</v>
      </c>
      <c r="C12" s="5">
        <f>AVERAGE($B$5:$B$34)</f>
        <v/>
      </c>
      <c r="D12" s="5">
        <f>STDEV($B$5:$B$34)</f>
        <v/>
      </c>
      <c r="E12" s="5">
        <f>C5+3*D5</f>
        <v/>
      </c>
      <c r="F12" s="5">
        <f>MAX(0,C5-3*D5)</f>
        <v/>
      </c>
      <c r="G12" s="5">
        <f>IF(OR(B12&gt;E12,B12&lt;F12),"Beyond limit","")</f>
        <v/>
      </c>
      <c r="H12" s="5" t="inlineStr"/>
    </row>
    <row r="13">
      <c r="A13" s="5" t="n">
        <v>9</v>
      </c>
      <c r="B13" s="5" t="n">
        <v>100.1</v>
      </c>
      <c r="C13" s="5">
        <f>AVERAGE($B$5:$B$34)</f>
        <v/>
      </c>
      <c r="D13" s="5">
        <f>STDEV($B$5:$B$34)</f>
        <v/>
      </c>
      <c r="E13" s="5">
        <f>C5+3*D5</f>
        <v/>
      </c>
      <c r="F13" s="5">
        <f>MAX(0,C5-3*D5)</f>
        <v/>
      </c>
      <c r="G13" s="5">
        <f>IF(OR(B13&gt;E13,B13&lt;F13),"Beyond limit","")</f>
        <v/>
      </c>
      <c r="H13" s="5" t="inlineStr"/>
    </row>
    <row r="14">
      <c r="A14" s="5" t="n">
        <v>10</v>
      </c>
      <c r="B14" s="5" t="n">
        <v>99.59999999999999</v>
      </c>
      <c r="C14" s="5">
        <f>AVERAGE($B$5:$B$34)</f>
        <v/>
      </c>
      <c r="D14" s="5">
        <f>STDEV($B$5:$B$34)</f>
        <v/>
      </c>
      <c r="E14" s="5">
        <f>C5+3*D5</f>
        <v/>
      </c>
      <c r="F14" s="5">
        <f>MAX(0,C5-3*D5)</f>
        <v/>
      </c>
      <c r="G14" s="5">
        <f>IF(OR(B14&gt;E14,B14&lt;F14),"Beyond limit","")</f>
        <v/>
      </c>
      <c r="H14" s="5" t="inlineStr"/>
    </row>
    <row r="15">
      <c r="A15" s="5" t="n">
        <v>11</v>
      </c>
      <c r="B15" s="5" t="n">
        <v>100.4</v>
      </c>
      <c r="C15" s="5">
        <f>AVERAGE($B$5:$B$34)</f>
        <v/>
      </c>
      <c r="D15" s="5">
        <f>STDEV($B$5:$B$34)</f>
        <v/>
      </c>
      <c r="E15" s="5">
        <f>C5+3*D5</f>
        <v/>
      </c>
      <c r="F15" s="5">
        <f>MAX(0,C5-3*D5)</f>
        <v/>
      </c>
      <c r="G15" s="5">
        <f>IF(OR(B15&gt;E15,B15&lt;F15),"Beyond limit","")</f>
        <v/>
      </c>
      <c r="H15" s="5" t="inlineStr"/>
    </row>
    <row r="16">
      <c r="A16" s="5" t="n">
        <v>12</v>
      </c>
      <c r="B16" s="5" t="n">
        <v>100.6</v>
      </c>
      <c r="C16" s="5">
        <f>AVERAGE($B$5:$B$34)</f>
        <v/>
      </c>
      <c r="D16" s="5">
        <f>STDEV($B$5:$B$34)</f>
        <v/>
      </c>
      <c r="E16" s="5">
        <f>C5+3*D5</f>
        <v/>
      </c>
      <c r="F16" s="5">
        <f>MAX(0,C5-3*D5)</f>
        <v/>
      </c>
      <c r="G16" s="5">
        <f>IF(OR(B16&gt;E16,B16&lt;F16),"Beyond limit","")</f>
        <v/>
      </c>
      <c r="H16" s="5" t="inlineStr"/>
    </row>
    <row r="17">
      <c r="A17" s="5" t="n">
        <v>13</v>
      </c>
      <c r="B17" s="5" t="n">
        <v>100.2</v>
      </c>
      <c r="C17" s="5">
        <f>AVERAGE($B$5:$B$34)</f>
        <v/>
      </c>
      <c r="D17" s="5">
        <f>STDEV($B$5:$B$34)</f>
        <v/>
      </c>
      <c r="E17" s="5">
        <f>C5+3*D5</f>
        <v/>
      </c>
      <c r="F17" s="5">
        <f>MAX(0,C5-3*D5)</f>
        <v/>
      </c>
      <c r="G17" s="5">
        <f>IF(OR(B17&gt;E17,B17&lt;F17),"Beyond limit","")</f>
        <v/>
      </c>
      <c r="H17" s="5" t="inlineStr"/>
    </row>
    <row r="18">
      <c r="A18" s="5" t="n">
        <v>14</v>
      </c>
      <c r="B18" s="5" t="n">
        <v>100</v>
      </c>
      <c r="C18" s="5">
        <f>AVERAGE($B$5:$B$34)</f>
        <v/>
      </c>
      <c r="D18" s="5">
        <f>STDEV($B$5:$B$34)</f>
        <v/>
      </c>
      <c r="E18" s="5">
        <f>C5+3*D5</f>
        <v/>
      </c>
      <c r="F18" s="5">
        <f>MAX(0,C5-3*D5)</f>
        <v/>
      </c>
      <c r="G18" s="5">
        <f>IF(OR(B18&gt;E18,B18&lt;F18),"Beyond limit","")</f>
        <v/>
      </c>
      <c r="H18" s="5" t="inlineStr"/>
    </row>
    <row r="19">
      <c r="A19" s="5" t="n">
        <v>15</v>
      </c>
      <c r="B19" s="5" t="n">
        <v>99.7</v>
      </c>
      <c r="C19" s="5">
        <f>AVERAGE($B$5:$B$34)</f>
        <v/>
      </c>
      <c r="D19" s="5">
        <f>STDEV($B$5:$B$34)</f>
        <v/>
      </c>
      <c r="E19" s="5">
        <f>C5+3*D5</f>
        <v/>
      </c>
      <c r="F19" s="5">
        <f>MAX(0,C5-3*D5)</f>
        <v/>
      </c>
      <c r="G19" s="5">
        <f>IF(OR(B19&gt;E19,B19&lt;F19),"Beyond limit","")</f>
        <v/>
      </c>
      <c r="H19" s="5" t="inlineStr"/>
    </row>
    <row r="20">
      <c r="A20" s="5" t="n">
        <v>16</v>
      </c>
      <c r="B20" s="5" t="n">
        <v>100.3</v>
      </c>
      <c r="C20" s="5">
        <f>AVERAGE($B$5:$B$34)</f>
        <v/>
      </c>
      <c r="D20" s="5">
        <f>STDEV($B$5:$B$34)</f>
        <v/>
      </c>
      <c r="E20" s="5">
        <f>C5+3*D5</f>
        <v/>
      </c>
      <c r="F20" s="5">
        <f>MAX(0,C5-3*D5)</f>
        <v/>
      </c>
      <c r="G20" s="5">
        <f>IF(OR(B20&gt;E20,B20&lt;F20),"Beyond limit","")</f>
        <v/>
      </c>
      <c r="H20" s="5" t="inlineStr"/>
    </row>
    <row r="21">
      <c r="A21" s="5" t="n">
        <v>17</v>
      </c>
      <c r="B21" s="5" t="n">
        <v>100.5</v>
      </c>
      <c r="C21" s="5">
        <f>AVERAGE($B$5:$B$34)</f>
        <v/>
      </c>
      <c r="D21" s="5">
        <f>STDEV($B$5:$B$34)</f>
        <v/>
      </c>
      <c r="E21" s="5">
        <f>C5+3*D5</f>
        <v/>
      </c>
      <c r="F21" s="5">
        <f>MAX(0,C5-3*D5)</f>
        <v/>
      </c>
      <c r="G21" s="5">
        <f>IF(OR(B21&gt;E21,B21&lt;F21),"Beyond limit","")</f>
        <v/>
      </c>
      <c r="H21" s="5" t="inlineStr"/>
    </row>
    <row r="22">
      <c r="A22" s="5" t="n">
        <v>18</v>
      </c>
      <c r="B22" s="5" t="n">
        <v>100.1</v>
      </c>
      <c r="C22" s="5">
        <f>AVERAGE($B$5:$B$34)</f>
        <v/>
      </c>
      <c r="D22" s="5">
        <f>STDEV($B$5:$B$34)</f>
        <v/>
      </c>
      <c r="E22" s="5">
        <f>C5+3*D5</f>
        <v/>
      </c>
      <c r="F22" s="5">
        <f>MAX(0,C5-3*D5)</f>
        <v/>
      </c>
      <c r="G22" s="5">
        <f>IF(OR(B22&gt;E22,B22&lt;F22),"Beyond limit","")</f>
        <v/>
      </c>
      <c r="H22" s="5" t="inlineStr"/>
    </row>
    <row r="23">
      <c r="A23" s="5" t="n">
        <v>19</v>
      </c>
      <c r="B23" s="5" t="n">
        <v>99.90000000000001</v>
      </c>
      <c r="C23" s="5">
        <f>AVERAGE($B$5:$B$34)</f>
        <v/>
      </c>
      <c r="D23" s="5">
        <f>STDEV($B$5:$B$34)</f>
        <v/>
      </c>
      <c r="E23" s="5">
        <f>C5+3*D5</f>
        <v/>
      </c>
      <c r="F23" s="5">
        <f>MAX(0,C5-3*D5)</f>
        <v/>
      </c>
      <c r="G23" s="5">
        <f>IF(OR(B23&gt;E23,B23&lt;F23),"Beyond limit","")</f>
        <v/>
      </c>
      <c r="H23" s="5" t="inlineStr"/>
    </row>
    <row r="24">
      <c r="A24" s="5" t="n">
        <v>20</v>
      </c>
      <c r="B24" s="5" t="n">
        <v>100.2</v>
      </c>
      <c r="C24" s="5">
        <f>AVERAGE($B$5:$B$34)</f>
        <v/>
      </c>
      <c r="D24" s="5">
        <f>STDEV($B$5:$B$34)</f>
        <v/>
      </c>
      <c r="E24" s="5">
        <f>C5+3*D5</f>
        <v/>
      </c>
      <c r="F24" s="5">
        <f>MAX(0,C5-3*D5)</f>
        <v/>
      </c>
      <c r="G24" s="5">
        <f>IF(OR(B24&gt;E24,B24&lt;F24),"Beyond limit","")</f>
        <v/>
      </c>
      <c r="H24" s="5" t="inlineStr"/>
    </row>
    <row r="25">
      <c r="A25" s="5" t="n">
        <v>21</v>
      </c>
      <c r="B25" s="5" t="n">
        <v>100.4</v>
      </c>
      <c r="C25" s="5">
        <f>AVERAGE($B$5:$B$34)</f>
        <v/>
      </c>
      <c r="D25" s="5">
        <f>STDEV($B$5:$B$34)</f>
        <v/>
      </c>
      <c r="E25" s="5">
        <f>C5+3*D5</f>
        <v/>
      </c>
      <c r="F25" s="5">
        <f>MAX(0,C5-3*D5)</f>
        <v/>
      </c>
      <c r="G25" s="5">
        <f>IF(OR(B25&gt;E25,B25&lt;F25),"Beyond limit","")</f>
        <v/>
      </c>
      <c r="H25" s="5" t="inlineStr"/>
    </row>
    <row r="26">
      <c r="A26" s="5" t="n">
        <v>22</v>
      </c>
      <c r="B26" s="5" t="n">
        <v>100.7</v>
      </c>
      <c r="C26" s="5">
        <f>AVERAGE($B$5:$B$34)</f>
        <v/>
      </c>
      <c r="D26" s="5">
        <f>STDEV($B$5:$B$34)</f>
        <v/>
      </c>
      <c r="E26" s="5">
        <f>C5+3*D5</f>
        <v/>
      </c>
      <c r="F26" s="5">
        <f>MAX(0,C5-3*D5)</f>
        <v/>
      </c>
      <c r="G26" s="5">
        <f>IF(OR(B26&gt;E26,B26&lt;F26),"Beyond limit","")</f>
        <v/>
      </c>
      <c r="H26" s="5" t="inlineStr"/>
    </row>
    <row r="27">
      <c r="A27" s="5" t="n">
        <v>23</v>
      </c>
      <c r="B27" s="5" t="n">
        <v>101.5</v>
      </c>
      <c r="C27" s="5">
        <f>AVERAGE($B$5:$B$34)</f>
        <v/>
      </c>
      <c r="D27" s="5">
        <f>STDEV($B$5:$B$34)</f>
        <v/>
      </c>
      <c r="E27" s="5">
        <f>C5+3*D5</f>
        <v/>
      </c>
      <c r="F27" s="5">
        <f>MAX(0,C5-3*D5)</f>
        <v/>
      </c>
      <c r="G27" s="5">
        <f>IF(OR(B27&gt;E27,B27&lt;F27),"Beyond limit","")</f>
        <v/>
      </c>
      <c r="H27" s="5" t="inlineStr"/>
    </row>
    <row r="28">
      <c r="A28" s="5" t="n">
        <v>24</v>
      </c>
      <c r="B28" s="5" t="n">
        <v>100.6</v>
      </c>
      <c r="C28" s="5">
        <f>AVERAGE($B$5:$B$34)</f>
        <v/>
      </c>
      <c r="D28" s="5">
        <f>STDEV($B$5:$B$34)</f>
        <v/>
      </c>
      <c r="E28" s="5">
        <f>C5+3*D5</f>
        <v/>
      </c>
      <c r="F28" s="5">
        <f>MAX(0,C5-3*D5)</f>
        <v/>
      </c>
      <c r="G28" s="5">
        <f>IF(OR(B28&gt;E28,B28&lt;F28),"Beyond limit","")</f>
        <v/>
      </c>
      <c r="H28" s="5" t="inlineStr"/>
    </row>
    <row r="29">
      <c r="A29" s="5" t="n">
        <v>25</v>
      </c>
      <c r="B29" s="5" t="n">
        <v>100.3</v>
      </c>
      <c r="C29" s="5">
        <f>AVERAGE($B$5:$B$34)</f>
        <v/>
      </c>
      <c r="D29" s="5">
        <f>STDEV($B$5:$B$34)</f>
        <v/>
      </c>
      <c r="E29" s="5">
        <f>C5+3*D5</f>
        <v/>
      </c>
      <c r="F29" s="5">
        <f>MAX(0,C5-3*D5)</f>
        <v/>
      </c>
      <c r="G29" s="5">
        <f>IF(OR(B29&gt;E29,B29&lt;F29),"Beyond limit","")</f>
        <v/>
      </c>
      <c r="H29" s="5" t="inlineStr"/>
    </row>
    <row r="30">
      <c r="A30" s="5" t="n">
        <v>26</v>
      </c>
      <c r="B30" s="5" t="n">
        <v>100.2</v>
      </c>
      <c r="C30" s="5">
        <f>AVERAGE($B$5:$B$34)</f>
        <v/>
      </c>
      <c r="D30" s="5">
        <f>STDEV($B$5:$B$34)</f>
        <v/>
      </c>
      <c r="E30" s="5">
        <f>C5+3*D5</f>
        <v/>
      </c>
      <c r="F30" s="5">
        <f>MAX(0,C5-3*D5)</f>
        <v/>
      </c>
      <c r="G30" s="5">
        <f>IF(OR(B30&gt;E30,B30&lt;F30),"Beyond limit","")</f>
        <v/>
      </c>
      <c r="H30" s="5" t="inlineStr"/>
    </row>
    <row r="31">
      <c r="A31" s="5" t="n">
        <v>27</v>
      </c>
      <c r="B31" s="5" t="n">
        <v>100.1</v>
      </c>
      <c r="C31" s="5">
        <f>AVERAGE($B$5:$B$34)</f>
        <v/>
      </c>
      <c r="D31" s="5">
        <f>STDEV($B$5:$B$34)</f>
        <v/>
      </c>
      <c r="E31" s="5">
        <f>C5+3*D5</f>
        <v/>
      </c>
      <c r="F31" s="5">
        <f>MAX(0,C5-3*D5)</f>
        <v/>
      </c>
      <c r="G31" s="5">
        <f>IF(OR(B31&gt;E31,B31&lt;F31),"Beyond limit","")</f>
        <v/>
      </c>
      <c r="H31" s="5" t="inlineStr"/>
    </row>
    <row r="32">
      <c r="A32" s="5" t="n">
        <v>28</v>
      </c>
      <c r="B32" s="5" t="n">
        <v>99.8</v>
      </c>
      <c r="C32" s="5">
        <f>AVERAGE($B$5:$B$34)</f>
        <v/>
      </c>
      <c r="D32" s="5">
        <f>STDEV($B$5:$B$34)</f>
        <v/>
      </c>
      <c r="E32" s="5">
        <f>C5+3*D5</f>
        <v/>
      </c>
      <c r="F32" s="5">
        <f>MAX(0,C5-3*D5)</f>
        <v/>
      </c>
      <c r="G32" s="5">
        <f>IF(OR(B32&gt;E32,B32&lt;F32),"Beyond limit","")</f>
        <v/>
      </c>
      <c r="H32" s="5" t="inlineStr"/>
    </row>
    <row r="33">
      <c r="A33" s="5" t="n">
        <v>29</v>
      </c>
      <c r="B33" s="5" t="n">
        <v>100</v>
      </c>
      <c r="C33" s="5">
        <f>AVERAGE($B$5:$B$34)</f>
        <v/>
      </c>
      <c r="D33" s="5">
        <f>STDEV($B$5:$B$34)</f>
        <v/>
      </c>
      <c r="E33" s="5">
        <f>C5+3*D5</f>
        <v/>
      </c>
      <c r="F33" s="5">
        <f>MAX(0,C5-3*D5)</f>
        <v/>
      </c>
      <c r="G33" s="5">
        <f>IF(OR(B33&gt;E33,B33&lt;F33),"Beyond limit","")</f>
        <v/>
      </c>
      <c r="H33" s="5" t="inlineStr"/>
    </row>
    <row r="34">
      <c r="A34" s="5" t="n">
        <v>30</v>
      </c>
      <c r="B34" s="5" t="n">
        <v>100.3</v>
      </c>
      <c r="C34" s="5">
        <f>AVERAGE($B$5:$B$34)</f>
        <v/>
      </c>
      <c r="D34" s="5">
        <f>STDEV($B$5:$B$34)</f>
        <v/>
      </c>
      <c r="E34" s="5">
        <f>C5+3*D5</f>
        <v/>
      </c>
      <c r="F34" s="5">
        <f>MAX(0,C5-3*D5)</f>
        <v/>
      </c>
      <c r="G34" s="5">
        <f>IF(OR(B34&gt;E34,B34&lt;F34),"Beyond limit","")</f>
        <v/>
      </c>
      <c r="H34" s="5" t="inlineStr"/>
    </row>
  </sheetData>
  <autoFilter ref="A1:H34"/>
  <mergeCells count="2">
    <mergeCell ref="A2:H2"/>
    <mergeCell ref="A1:H1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Signal Investigation Log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Date / day</t>
        </is>
      </c>
      <c r="B4" s="6" t="inlineStr">
        <is>
          <t>Signal</t>
        </is>
      </c>
      <c r="C4" s="6" t="inlineStr">
        <is>
          <t>Containment</t>
        </is>
      </c>
      <c r="D4" s="6" t="inlineStr">
        <is>
          <t>Cause evidence</t>
        </is>
      </c>
      <c r="E4" s="6" t="inlineStr">
        <is>
          <t>Disposition</t>
        </is>
      </c>
      <c r="F4" s="6" t="inlineStr">
        <is>
          <t>PFMEA update</t>
        </is>
      </c>
      <c r="G4" s="5" t="n"/>
      <c r="H4" s="5" t="n"/>
    </row>
    <row r="5">
      <c r="A5" s="5" t="n">
        <v>23</v>
      </c>
      <c r="B5" s="5" t="inlineStr"/>
      <c r="C5" s="5" t="inlineStr"/>
      <c r="D5" s="5" t="inlineStr"/>
      <c r="E5" s="5" t="inlineStr"/>
      <c r="F5" s="5" t="inlineStr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Capability Check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Measure</t>
        </is>
      </c>
      <c r="B4" s="6" t="inlineStr">
        <is>
          <t>Formula / value</t>
        </is>
      </c>
      <c r="C4" s="6" t="inlineStr">
        <is>
          <t>Interpretation</t>
        </is>
      </c>
      <c r="D4" s="5" t="n"/>
      <c r="E4" s="5" t="n"/>
      <c r="F4" s="5" t="n"/>
      <c r="G4" s="5" t="n"/>
      <c r="H4" s="5" t="n"/>
    </row>
    <row r="5">
      <c r="A5" s="5" t="inlineStr">
        <is>
          <t>USL</t>
        </is>
      </c>
      <c r="B5" s="5" t="n">
        <v>101.5</v>
      </c>
      <c r="C5" s="5" t="inlineStr">
        <is>
          <t>Upper specification</t>
        </is>
      </c>
      <c r="D5" s="5" t="n"/>
      <c r="E5" s="5" t="n"/>
      <c r="F5" s="5" t="n"/>
      <c r="G5" s="5" t="n"/>
      <c r="H5" s="5" t="n"/>
    </row>
    <row r="6">
      <c r="A6" s="5" t="inlineStr">
        <is>
          <t>LSL</t>
        </is>
      </c>
      <c r="B6" s="5" t="n">
        <v>98.5</v>
      </c>
      <c r="C6" s="5" t="inlineStr">
        <is>
          <t>Lower specification</t>
        </is>
      </c>
      <c r="D6" s="5" t="n"/>
      <c r="E6" s="5" t="n"/>
      <c r="F6" s="5" t="n"/>
      <c r="G6" s="5" t="n"/>
      <c r="H6" s="5" t="n"/>
    </row>
    <row r="7">
      <c r="A7" s="5" t="inlineStr">
        <is>
          <t>Mean</t>
        </is>
      </c>
      <c r="B7" s="5">
        <f>AVERAGE('Control Chart'!B5:B34)</f>
        <v/>
      </c>
      <c r="C7" s="5" t="inlineStr">
        <is>
          <t>Use after stability review</t>
        </is>
      </c>
      <c r="D7" s="5" t="n"/>
      <c r="E7" s="5" t="n"/>
      <c r="F7" s="5" t="n"/>
      <c r="G7" s="5" t="n"/>
      <c r="H7" s="5" t="n"/>
    </row>
    <row r="8">
      <c r="A8" s="5" t="inlineStr">
        <is>
          <t>Std dev</t>
        </is>
      </c>
      <c r="B8" s="5">
        <f>STDEV('Control Chart'!B5:B34)</f>
        <v/>
      </c>
      <c r="C8" s="5" t="inlineStr">
        <is>
          <t>Within the observed period</t>
        </is>
      </c>
      <c r="D8" s="5" t="n"/>
      <c r="E8" s="5" t="n"/>
      <c r="F8" s="5" t="n"/>
      <c r="G8" s="5" t="n"/>
      <c r="H8" s="5" t="n"/>
    </row>
    <row r="9">
      <c r="A9" s="5" t="inlineStr">
        <is>
          <t>Cp</t>
        </is>
      </c>
      <c r="B9" s="5">
        <f>(B5-B6)/(6*B8)</f>
        <v/>
      </c>
      <c r="C9" s="5" t="inlineStr">
        <is>
          <t>Potential capability</t>
        </is>
      </c>
      <c r="D9" s="5" t="n"/>
      <c r="E9" s="5" t="n"/>
      <c r="F9" s="5" t="n"/>
      <c r="G9" s="5" t="n"/>
      <c r="H9" s="5" t="n"/>
    </row>
    <row r="10">
      <c r="A10" s="5" t="inlineStr">
        <is>
          <t>Cpk</t>
        </is>
      </c>
      <c r="B10" s="5">
        <f>MIN((B5-B7)/(3*B8),(B7-B6)/(3*B8))</f>
        <v/>
      </c>
      <c r="C10" s="5" t="inlineStr">
        <is>
          <t>Accounts for centring</t>
        </is>
      </c>
      <c r="D10" s="5" t="n"/>
      <c r="E10" s="5" t="n"/>
      <c r="F10" s="5" t="n"/>
      <c r="G10" s="5" t="n"/>
      <c r="H10" s="5" t="n"/>
    </row>
  </sheetData>
  <autoFilter ref="A1:H10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Improvement Evaluation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Dimension</t>
        </is>
      </c>
      <c r="B4" s="6" t="inlineStr">
        <is>
          <t>Finding</t>
        </is>
      </c>
      <c r="C4" s="6" t="inlineStr">
        <is>
          <t>Evidence</t>
        </is>
      </c>
      <c r="D4" s="6" t="inlineStr">
        <is>
          <t>Next action</t>
        </is>
      </c>
      <c r="E4" s="5" t="n"/>
      <c r="F4" s="5" t="n"/>
      <c r="G4" s="5" t="n"/>
      <c r="H4" s="5" t="n"/>
    </row>
    <row r="5">
      <c r="A5" s="5" t="inlineStr">
        <is>
          <t>Effectiveness</t>
        </is>
      </c>
      <c r="B5" s="5" t="inlineStr"/>
      <c r="C5" s="5" t="inlineStr"/>
      <c r="D5" s="5" t="inlineStr"/>
      <c r="E5" s="5" t="n"/>
      <c r="F5" s="5" t="n"/>
      <c r="G5" s="5" t="n"/>
      <c r="H5" s="5" t="n"/>
    </row>
    <row r="6">
      <c r="A6" s="5" t="inlineStr">
        <is>
          <t>Stability</t>
        </is>
      </c>
      <c r="B6" s="5" t="inlineStr"/>
      <c r="C6" s="5" t="inlineStr"/>
      <c r="D6" s="5" t="inlineStr"/>
      <c r="E6" s="5" t="n"/>
      <c r="F6" s="5" t="n"/>
      <c r="G6" s="5" t="n"/>
      <c r="H6" s="5" t="n"/>
    </row>
    <row r="7">
      <c r="A7" s="5" t="inlineStr">
        <is>
          <t>Capability</t>
        </is>
      </c>
      <c r="B7" s="5" t="inlineStr"/>
      <c r="C7" s="5" t="inlineStr"/>
      <c r="D7" s="5" t="inlineStr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